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davidchill/Downloads/"/>
    </mc:Choice>
  </mc:AlternateContent>
  <xr:revisionPtr revIDLastSave="0" documentId="13_ncr:1_{69F59ADC-2727-334D-B53F-C5138BF9F1F4}" xr6:coauthVersionLast="47" xr6:coauthVersionMax="47" xr10:uidLastSave="{00000000-0000-0000-0000-000000000000}"/>
  <bookViews>
    <workbookView xWindow="38400" yWindow="2720" windowWidth="30240" windowHeight="1888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3" l="1"/>
  <c r="J6" i="13"/>
  <c r="K3" i="13"/>
  <c r="K4" i="13"/>
  <c r="K5" i="13"/>
  <c r="K7" i="13"/>
  <c r="K8" i="13"/>
  <c r="K9" i="13"/>
  <c r="K10" i="13"/>
  <c r="K2" i="13"/>
  <c r="J3" i="13"/>
  <c r="J4" i="13"/>
  <c r="J5" i="13"/>
  <c r="J7" i="13"/>
  <c r="J8" i="13"/>
  <c r="J9" i="13"/>
  <c r="J10" i="13"/>
  <c r="J2" i="13"/>
  <c r="L2" i="12"/>
  <c r="K2" i="12"/>
  <c r="K2" i="7" a="1"/>
  <c r="K2" i="7" s="1"/>
  <c r="J2" i="7" a="1"/>
  <c r="J2" i="7" s="1"/>
  <c r="L2" i="7" a="1"/>
  <c r="L2" i="7" s="1"/>
  <c r="K2" i="1" a="1"/>
  <c r="K2" i="1" s="1"/>
  <c r="J2" i="1" a="1"/>
  <c r="J2" i="1" s="1"/>
  <c r="J2" i="6" a="1"/>
  <c r="J2" i="6" s="1"/>
  <c r="J3" i="3"/>
  <c r="J4" i="3"/>
  <c r="J5" i="3"/>
  <c r="J6" i="3"/>
  <c r="J7" i="3"/>
  <c r="J8" i="3"/>
  <c r="J9" i="3"/>
  <c r="J10" i="3"/>
  <c r="J2" i="3"/>
  <c r="M2" i="4" a="1"/>
  <c r="M2" i="4" s="1"/>
  <c r="L2" i="4" a="1"/>
  <c r="L2" i="4" s="1"/>
  <c r="K3" i="4"/>
  <c r="K4" i="4"/>
  <c r="K5" i="4"/>
  <c r="K6" i="4"/>
  <c r="K7" i="4"/>
  <c r="K8" i="4"/>
  <c r="K9" i="4"/>
  <c r="K10" i="4"/>
  <c r="K2" i="4"/>
  <c r="J2" i="2" a="1"/>
  <c r="J2" i="2" s="1"/>
  <c r="K2" i="8" a="1"/>
  <c r="K2" i="8" s="1"/>
  <c r="J2" i="8" a="1"/>
  <c r="J2" i="8" s="1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<sst xmlns="http://schemas.openxmlformats.org/spreadsheetml/2006/main" count="584" uniqueCount="92">
  <si>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</si>
  <si>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</si>
  <si>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</si>
  <si>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</si>
  <si>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</si>
  <si>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</si>
  <si>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</si>
  <si>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</si>
  <si>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</si>
  <si>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</si>
  <si>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</si>
  <si>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</si>
  <si>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</si>
  <si>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</si>
  <si>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</si>
  <si>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</si>
  <si>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</si>
  <si>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</si>
  <si>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</si>
  <si>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</si>
  <si>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</si>
  <si>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</si>
  <si>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</si>
  <si>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</si>
  <si>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</si>
  <si>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</si>
  <si>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</si>
  <si>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</si>
  <si>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</si>
  <si>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</si>
  <si>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</si>
  <si>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</si>
  <si>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</si>
  <si>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</si>
  <si>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</si>
  <si>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</si>
  <si>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</si>
  <si>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</si>
  <si>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</si>
  <si>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</si>
  <si>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</si>
  <si>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</si>
  <si>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</si>
  <si>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</si>
  <si>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</si>
  <si>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</si>
  <si>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</si>
  <si>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</si>
  <si>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</si>
  <si>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</si>
  <si>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</si>
  <si>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</si>
  <si>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</si>
  <si>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</si>
  <si>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</si>
  <si>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</si>
  <si>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</si>
  <si>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</si>
  <si>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</si>
  <si>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</si>
  <si>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</si>
  <si>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</si>
  <si>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</si>
  <si>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</si>
  <si>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</si>
  <si>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</si>
  <si>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</si>
  <si>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</si>
  <si>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</si>
  <si>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</si>
  <si>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</si>
  <si>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</si>
  <si>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</si>
  <si>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</si>
  <si>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</si>
  <si>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</si>
  <si>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</si>
  <si>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</si>
  <si>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</si>
  <si>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</si>
  <si>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</si>
  <si>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</si>
  <si>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</si>
  <si>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</si>
  <si>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</si>
  <si>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</si>
  <si>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</si>
  <si>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</si>
  <si>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gmail</t>
  </si>
  <si>
    <t>7/4-2000</t>
  </si>
  <si>
    <t>5-6/2001</t>
  </si>
  <si>
    <t>11-2-2001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</si>
</sst>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zoomScale="156" workbookViewId="0">
      <selection activeCell="K3" sqref="K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E1" zoomScale="157" workbookViewId="0">
      <selection activeCell="L17" sqref="L17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1" max="11" width="18.8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 "Old", "Young")</f>
        <v>Young</v>
      </c>
      <c r="K2" t="str" cm="1">
        <f t="array" ref="K2:K10">_xlfn.IFS(F2:F10 = "Salesman", "Sales", F2:F10 ="HR", "Fire")</f>
        <v>Sales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B1" zoomScale="180" workbookViewId="0">
      <selection activeCell="J3" sqref="J3"/>
    </sheetView>
  </sheetViews>
  <sheetFormatPr baseColWidth="10" defaultColWidth="10.83203125" defaultRowHeight="15" x14ac:dyDescent="0.2"/>
  <cols>
    <col min="1" max="1" width="10.83203125" bestFit="1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zoomScale="125" workbookViewId="0">
      <selection activeCell="J23" sqref="J23"/>
    </sheetView>
  </sheetViews>
  <sheetFormatPr baseColWidth="10" defaultColWidth="14.5" defaultRowHeight="15" x14ac:dyDescent="0.2"/>
  <cols>
    <col min="4" max="4" width="8" customWidth="1"/>
    <col min="10" max="10" width="32.33203125" bestFit="1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LEFT(B2, 3)</f>
        <v>Jim</v>
      </c>
      <c r="L2" t="str" cm="1">
        <f t="array" ref="L2:L10">RIGHT(H2:H10, 4)</f>
        <v>2001</v>
      </c>
      <c r="M2" t="str" cm="1">
        <f t="array" ref="M2:M10">RIGHT(I2:I10, 4)</f>
        <v>2015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LEFT(B3, 3)</f>
        <v>Pam</v>
      </c>
      <c r="L3" t="str">
        <v>1999</v>
      </c>
      <c r="M3" t="str">
        <v>2015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v>2000</v>
      </c>
      <c r="M4" t="str">
        <v>2017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v>2000</v>
      </c>
      <c r="M5" t="str">
        <v>2015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v>2001</v>
      </c>
      <c r="M6" t="str">
        <v>2017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v>2001</v>
      </c>
      <c r="M7" t="str">
        <v>2013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v>2003</v>
      </c>
      <c r="M8" t="str">
        <v>2013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v>2002</v>
      </c>
      <c r="M9" t="str">
        <v>2015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v>2003</v>
      </c>
      <c r="M10" t="str"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zoomScale="135" workbookViewId="0">
      <selection activeCell="L10" sqref="L10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TEXT(H2, "dd/mm/yyyy")</f>
        <v>02/11/2001</v>
      </c>
      <c r="K2" s="2"/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TEXT(H3, "dd/mm/yyyy")</f>
        <v>03/10/1999</v>
      </c>
      <c r="K3" s="2"/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</row>
    <row r="12" spans="1:11" x14ac:dyDescent="0.2">
      <c r="H12" s="1"/>
    </row>
    <row r="13" spans="1:11" x14ac:dyDescent="0.2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zoomScale="173" workbookViewId="0">
      <selection activeCell="J20" sqref="J20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zoomScale="150" workbookViewId="0">
      <selection activeCell="J20" sqref="J20"/>
    </sheetView>
  </sheetViews>
  <sheetFormatPr baseColWidth="10" defaultColWidth="8.83203125" defaultRowHeight="15" x14ac:dyDescent="0.2"/>
  <cols>
    <col min="2" max="2" width="10.5" customWidth="1"/>
    <col min="3" max="5" width="10.6640625" customWidth="1"/>
    <col min="6" max="6" width="16.5" customWidth="1"/>
    <col min="8" max="8" width="14.1640625" customWidth="1"/>
    <col min="9" max="9" width="14.83203125" customWidth="1"/>
    <col min="10" max="10" width="22" bestFit="1" customWidth="1"/>
    <col min="11" max="11" width="16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K1" t="s">
        <v>88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 "-", C2:C10)</f>
        <v>Jim-Halpert</v>
      </c>
      <c r="K2" t="str" cm="1">
        <f t="array" ref="K2:K10">CONCATENATE(_xlfn.ANCHORARRAY(J2), "@gmail.com")</f>
        <v>Jim-Halpert@gmail.com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Pam-Beasley</v>
      </c>
      <c r="K3" t="str">
        <v>Pam-Beasley@gmail.com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Dwight-Schrute</v>
      </c>
      <c r="K4" t="str">
        <v>Dwight-Schrute@gmail.com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Angela-Martin</v>
      </c>
      <c r="K5" t="str">
        <v>Angela-Martin@gmail.com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Toby-Flenderson</v>
      </c>
      <c r="K6" t="str">
        <v>Toby-Flenderson@gmail.com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Michael-Scott</v>
      </c>
      <c r="K7" t="str">
        <v>Michael-Scott@gmail.com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Meredith-Palmer</v>
      </c>
      <c r="K8" t="str">
        <v>Meredith-Palmer@gmail.com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Stanley-Hudson</v>
      </c>
      <c r="K9" t="str">
        <v>Stanley-Hudson@gmail.com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Kevin-Malone</v>
      </c>
      <c r="K10" t="str">
        <v>Kevin-Malone@gmail.com</v>
      </c>
    </row>
    <row r="11" spans="1:11" x14ac:dyDescent="0.2">
      <c r="H11" t="str">
        <f t="shared" ref="H11:H12" si="0">CONCATENATE(B11," ",C11)</f>
        <v xml:space="preserve"> </v>
      </c>
    </row>
    <row r="12" spans="1:11" x14ac:dyDescent="0.2">
      <c r="H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F1" zoomScale="211" workbookViewId="0">
      <selection activeCell="J17" sqref="J17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91</v>
      </c>
      <c r="I2" s="2" t="s">
        <v>56</v>
      </c>
      <c r="J2" t="str" cm="1">
        <f t="array" ref="J2:J10">SUBSTITUTE(H2:H10, "/", "-",1)</f>
        <v>11-2-2001</v>
      </c>
      <c r="K2" t="str" cm="1">
        <f t="array" ref="K2:K10">SUBSTITUTE(H2:H10, "/", "-",2)</f>
        <v>11-2-2001</v>
      </c>
      <c r="L2" t="str" cm="1">
        <f t="array" ref="L2:L10">SUBSTITUTE(H2:H10, "-", "/")</f>
        <v>11/2/2001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10/3/1999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89</v>
      </c>
      <c r="I4" s="2" t="s">
        <v>58</v>
      </c>
      <c r="J4" t="str">
        <v>7-4-2000</v>
      </c>
      <c r="K4" t="str">
        <v>7/4-2000</v>
      </c>
      <c r="L4" t="str">
        <v>7/4/2000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1/5/2000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5/6/2001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90</v>
      </c>
      <c r="I7" s="2" t="s">
        <v>61</v>
      </c>
      <c r="J7" t="str">
        <v>5-6-2001</v>
      </c>
      <c r="K7" t="str">
        <v>5-6/2001</v>
      </c>
      <c r="L7" t="str">
        <v>5/6/2001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11/8/2003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6/9/2002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8/10/2003</v>
      </c>
    </row>
    <row r="12" spans="1:12" x14ac:dyDescent="0.2">
      <c r="H12" s="2"/>
      <c r="I12" s="2"/>
    </row>
    <row r="13" spans="1:12" x14ac:dyDescent="0.2">
      <c r="H13" s="2"/>
      <c r="I13" s="2"/>
    </row>
    <row r="14" spans="1:12" x14ac:dyDescent="0.2">
      <c r="H14" s="2"/>
      <c r="I14" s="2"/>
    </row>
    <row r="15" spans="1:12" x14ac:dyDescent="0.2">
      <c r="H15" s="2"/>
      <c r="I15" s="2"/>
    </row>
    <row r="16" spans="1:12" x14ac:dyDescent="0.2">
      <c r="H16" s="2"/>
      <c r="I16" s="2"/>
    </row>
    <row r="17" spans="8:9" x14ac:dyDescent="0.2">
      <c r="H17" s="2"/>
      <c r="I17" s="2"/>
    </row>
    <row r="18" spans="8:9" x14ac:dyDescent="0.2">
      <c r="H18" s="2"/>
      <c r="I18" s="2"/>
    </row>
    <row r="19" spans="8:9" x14ac:dyDescent="0.2">
      <c r="H19" s="2"/>
      <c r="I19" s="2"/>
    </row>
    <row r="20" spans="8:9" x14ac:dyDescent="0.2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C1" zoomScale="150" workbookViewId="0">
      <selection activeCell="E7" sqref="E7"/>
    </sheetView>
  </sheetViews>
  <sheetFormatPr baseColWidth="10" defaultColWidth="13" defaultRowHeight="15" x14ac:dyDescent="0.2"/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K2">
        <f>SUMIF(G2:G10, "&gt;50000")</f>
        <v>128000</v>
      </c>
      <c r="L2">
        <f>SUMIFS(G2:G10,E2:E10, "Male",D2:D10,"&gt;30")</f>
        <v>205000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F22" sqref="F22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D1" zoomScale="186" workbookViewId="0">
      <selection activeCell="N10" sqref="N10"/>
    </sheetView>
  </sheetViews>
  <sheetFormatPr baseColWidth="10" defaultColWidth="8.83203125" defaultRowHeight="15" x14ac:dyDescent="0.2"/>
  <cols>
    <col min="8" max="8" width="14.5" customWidth="1"/>
    <col min="9" max="9" width="13.3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>_xlfn.DAYS(I6,H6)</f>
        <v>#VALUE!</v>
      </c>
      <c r="K6" t="e">
        <f>NETWORKDAYS(H6,I6)</f>
        <v>#VALUE!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Yen, David</cp:lastModifiedBy>
  <dcterms:created xsi:type="dcterms:W3CDTF">2021-12-16T14:18:34Z</dcterms:created>
  <dcterms:modified xsi:type="dcterms:W3CDTF">2026-04-03T04:08:18Z</dcterms:modified>
</cp:coreProperties>
</file>